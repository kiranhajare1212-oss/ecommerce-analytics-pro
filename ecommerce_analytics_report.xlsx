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Executive Summary" sheetId="1" state="visible" r:id="rId1"/>
    <sheet xmlns:r="http://schemas.openxmlformats.org/officeDocument/2006/relationships" name="📈 Monthly Revenue" sheetId="2" state="visible" r:id="rId2"/>
    <sheet xmlns:r="http://schemas.openxmlformats.org/officeDocument/2006/relationships" name="🗂 Category Performance" sheetId="3" state="visible" r:id="rId3"/>
    <sheet xmlns:r="http://schemas.openxmlformats.org/officeDocument/2006/relationships" name="🏆 Top Products" sheetId="4" state="visible" r:id="rId4"/>
    <sheet xmlns:r="http://schemas.openxmlformats.org/officeDocument/2006/relationships" name="👥 RFM Segments" sheetId="5" state="visible" r:id="rId5"/>
    <sheet xmlns:r="http://schemas.openxmlformats.org/officeDocument/2006/relationships" name="↩ Returns Analysis" sheetId="6" state="visible" r:id="rId6"/>
    <sheet xmlns:r="http://schemas.openxmlformats.org/officeDocument/2006/relationships" name="🔁 Cohort Reten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5"/>
    </font>
    <font>
      <name val="Calibri"/>
      <b val="1"/>
      <color rgb="00FFFFFF"/>
      <sz val="10"/>
    </font>
    <font>
      <name val="Calibri"/>
      <color rgb="000D1B2A"/>
      <sz val="10"/>
    </font>
    <font>
      <name val="Calibri"/>
      <b val="1"/>
      <color rgb="004A5568"/>
      <sz val="9"/>
    </font>
    <font>
      <name val="Calibri"/>
      <b val="1"/>
      <color rgb="000D1B2A"/>
      <sz val="13"/>
    </font>
    <font>
      <name val="Calibri"/>
      <b val="1"/>
      <color rgb="00FFFFFF"/>
      <sz val="9"/>
    </font>
  </fonts>
  <fills count="18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5E8B"/>
      </patternFill>
    </fill>
    <fill>
      <patternFill patternType="solid">
        <fgColor rgb="001A5276"/>
      </patternFill>
    </fill>
    <fill>
      <patternFill patternType="solid">
        <fgColor rgb="0000B4D8"/>
      </patternFill>
    </fill>
    <fill>
      <patternFill patternType="solid">
        <fgColor rgb="00145A32"/>
      </patternFill>
    </fill>
    <fill>
      <patternFill patternType="solid">
        <fgColor rgb="00E63946"/>
      </patternFill>
    </fill>
    <fill>
      <patternFill patternType="solid">
        <fgColor rgb="007D3C98"/>
      </patternFill>
    </fill>
    <fill>
      <patternFill patternType="solid">
        <fgColor rgb="00117A65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2DC653"/>
      </patternFill>
    </fill>
    <fill>
      <patternFill patternType="solid">
        <fgColor rgb="00F4A261"/>
      </patternFill>
    </fill>
    <fill>
      <patternFill patternType="solid">
        <fgColor rgb="00922B21"/>
      </patternFill>
    </fill>
    <fill>
      <patternFill patternType="solid">
        <fgColor rgb="00566573"/>
      </patternFill>
    </fill>
    <fill>
      <patternFill patternType="solid">
        <fgColor rgb="006C3483"/>
      </patternFill>
    </fill>
    <fill>
      <patternFill patternType="solid">
        <fgColor rgb="00D35400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left" vertical="center"/>
    </xf>
    <xf numFmtId="0" fontId="5" fillId="10" borderId="2" applyAlignment="1" pivotButton="0" quotePrefix="0" xfId="0">
      <alignment horizontal="right" vertical="center"/>
    </xf>
    <xf numFmtId="4" fontId="5" fillId="10" borderId="2" applyAlignment="1" pivotButton="0" quotePrefix="0" xfId="0">
      <alignment horizontal="right" vertical="center"/>
    </xf>
    <xf numFmtId="10" fontId="5" fillId="10" borderId="2" applyAlignment="1" pivotButton="0" quotePrefix="0" xfId="0">
      <alignment horizontal="right" vertical="center"/>
    </xf>
    <xf numFmtId="0" fontId="5" fillId="11" borderId="2" applyAlignment="1" pivotButton="0" quotePrefix="0" xfId="0">
      <alignment horizontal="left" vertical="center"/>
    </xf>
    <xf numFmtId="0" fontId="5" fillId="11" borderId="2" applyAlignment="1" pivotButton="0" quotePrefix="0" xfId="0">
      <alignment horizontal="right" vertical="center"/>
    </xf>
    <xf numFmtId="4" fontId="5" fillId="11" borderId="2" applyAlignment="1" pivotButton="0" quotePrefix="0" xfId="0">
      <alignment horizontal="right" vertical="center"/>
    </xf>
    <xf numFmtId="10" fontId="5" fillId="11" borderId="2" applyAlignment="1" pivotButton="0" quotePrefix="0" xfId="0">
      <alignment horizontal="right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164" fontId="5" fillId="10" borderId="2" applyAlignment="1" pivotButton="0" quotePrefix="0" xfId="0">
      <alignment horizontal="right" vertical="center"/>
    </xf>
    <xf numFmtId="2" fontId="5" fillId="10" borderId="2" applyAlignment="1" pivotButton="0" quotePrefix="0" xfId="0">
      <alignment horizontal="right" vertical="center"/>
    </xf>
    <xf numFmtId="164" fontId="5" fillId="11" borderId="2" applyAlignment="1" pivotButton="0" quotePrefix="0" xfId="0">
      <alignment horizontal="right" vertical="center"/>
    </xf>
    <xf numFmtId="2" fontId="5" fillId="11" borderId="2" applyAlignment="1" pivotButton="0" quotePrefix="0" xfId="0">
      <alignment horizontal="right" vertical="center"/>
    </xf>
    <xf numFmtId="0" fontId="4" fillId="14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left" vertical="center"/>
    </xf>
    <xf numFmtId="0" fontId="4" fillId="17" borderId="2" applyAlignment="1" pivotButton="0" quotePrefix="0" xfId="0">
      <alignment horizontal="left" vertical="center"/>
    </xf>
    <xf numFmtId="0" fontId="4" fillId="15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4" fillId="16" borderId="2" applyAlignment="1" pivotButton="0" quotePrefix="0" xfId="0">
      <alignment horizontal="left" vertical="center"/>
    </xf>
    <xf numFmtId="0" fontId="0" fillId="11" borderId="0" pivotButton="0" quotePrefix="0" xfId="0"/>
    <xf numFmtId="0" fontId="6" fillId="11" borderId="0" pivotButton="0" quotePrefix="0" xfId="0"/>
    <xf numFmtId="0" fontId="7" fillId="10" borderId="0" pivotButton="0" quotePrefix="0" xfId="0"/>
    <xf numFmtId="0" fontId="4" fillId="7" borderId="2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'📈 Monthly Revenue'!C2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Monthly Revenue'!$A$3:$A$38</f>
            </numRef>
          </cat>
          <val>
            <numRef>
              <f>'📈 Monthly Revenue'!$C$3:$C$38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'🗂 Category Performance'!C2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'🗂 Category Performance'!$A$3:$A$8</f>
            </numRef>
          </cat>
          <val>
            <numRef>
              <f>'🗂 Category Performance'!$C$3:$C$8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RFM Segment</a:t>
            </a:r>
          </a:p>
        </rich>
      </tx>
    </title>
    <plotArea>
      <pieChart>
        <varyColors val="1"/>
        <ser>
          <idx val="0"/>
          <order val="0"/>
          <tx>
            <strRef>
              <f>'👥 RFM Segments'!F2</f>
            </strRef>
          </tx>
          <spPr>
            <a:ln xmlns:a="http://schemas.openxmlformats.org/drawingml/2006/main">
              <a:prstDash val="solid"/>
            </a:ln>
          </spPr>
          <cat>
            <numRef>
              <f>'👥 RFM Segments'!$A$3:$A$9</f>
            </numRef>
          </cat>
          <val>
            <numRef>
              <f>'👥 RFM Segments'!$F$3:$F$9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2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selection activeCell="A1" sqref="A1"/>
    </sheetView>
  </sheetViews>
  <sheetFormatPr baseColWidth="8" defaultRowHeight="15"/>
  <sheetData>
    <row r="1" ht="40" customHeight="1">
      <c r="A1" s="1" t="inlineStr">
        <is>
          <t>🛒  E-COMMERCE ANALYTICS DASHBOARD  —  FY 2022-2024</t>
        </is>
      </c>
    </row>
    <row r="2" ht="6" customHeight="1">
      <c r="A2" s="2" t="n"/>
    </row>
    <row r="3" ht="8" customHeight="1"/>
    <row r="4" ht="70" customHeight="1">
      <c r="A4" s="3" t="inlineStr">
        <is>
          <t>Total Revenue
₹79.76 Cr</t>
        </is>
      </c>
      <c r="B4" s="4" t="inlineStr">
        <is>
          <t>Total Orders
10,841</t>
        </is>
      </c>
      <c r="C4" s="5" t="inlineStr">
        <is>
          <t>Unique Customers
1,986</t>
        </is>
      </c>
      <c r="D4" s="6" t="inlineStr">
        <is>
          <t>Avg Order Value
₹73,575</t>
        </is>
      </c>
      <c r="E4" s="7" t="inlineStr">
        <is>
          <t>Units Sold
56,653</t>
        </is>
      </c>
      <c r="F4" s="8" t="inlineStr">
        <is>
          <t>Return Rate
8.0%</t>
        </is>
      </c>
      <c r="G4" s="9" t="inlineStr">
        <is>
          <t>Cancellation Rate
9.7%</t>
        </is>
      </c>
      <c r="H4" s="10" t="inlineStr">
        <is>
          <t>Active Products
83</t>
        </is>
      </c>
    </row>
    <row r="5" ht="8" customHeight="1"/>
    <row r="6" ht="20" customHeight="1">
      <c r="A6" s="11" t="inlineStr">
        <is>
          <t xml:space="preserve">  Monthly Revenue Trend (2022-2024)</t>
        </is>
      </c>
    </row>
  </sheetData>
  <mergeCells count="11">
    <mergeCell ref="A1:J1"/>
    <mergeCell ref="B4"/>
    <mergeCell ref="D4"/>
    <mergeCell ref="C4"/>
    <mergeCell ref="A4"/>
    <mergeCell ref="F4"/>
    <mergeCell ref="E4"/>
    <mergeCell ref="G4"/>
    <mergeCell ref="A6:J6"/>
    <mergeCell ref="A2:J2"/>
    <mergeCell ref="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2" customWidth="1" min="4" max="4"/>
    <col width="14" customWidth="1" min="5" max="5"/>
    <col width="12" customWidth="1" min="6" max="6"/>
    <col width="14" customWidth="1" min="7" max="7"/>
  </cols>
  <sheetData>
    <row r="1" ht="35" customHeight="1">
      <c r="A1" s="12" t="inlineStr">
        <is>
          <t>Monthly Revenue &amp; Order Trends</t>
        </is>
      </c>
    </row>
    <row r="2">
      <c r="A2" s="13" t="inlineStr">
        <is>
          <t>Month</t>
        </is>
      </c>
      <c r="B2" s="14" t="inlineStr">
        <is>
          <t>Orders</t>
        </is>
      </c>
      <c r="C2" s="15" t="inlineStr">
        <is>
          <t>Revenue (₹)</t>
        </is>
      </c>
      <c r="D2" s="14" t="inlineStr">
        <is>
          <t>Customers</t>
        </is>
      </c>
      <c r="E2" s="15" t="inlineStr">
        <is>
          <t>AOV (₹)</t>
        </is>
      </c>
      <c r="F2" s="14" t="inlineStr">
        <is>
          <t>MoM Growth</t>
        </is>
      </c>
    </row>
    <row r="3">
      <c r="A3" s="16" t="inlineStr">
        <is>
          <t>2022-01</t>
        </is>
      </c>
      <c r="B3" s="17" t="n">
        <v>6</v>
      </c>
      <c r="C3" s="18" t="n">
        <v>787065</v>
      </c>
      <c r="D3" s="17" t="n">
        <v>6</v>
      </c>
      <c r="E3" s="18" t="n">
        <v>131177.5</v>
      </c>
      <c r="F3" s="19" t="n">
        <v>0</v>
      </c>
    </row>
    <row r="4">
      <c r="A4" s="20" t="inlineStr">
        <is>
          <t>2022-02</t>
        </is>
      </c>
      <c r="B4" s="21" t="n">
        <v>12</v>
      </c>
      <c r="C4" s="22" t="n">
        <v>959168.5</v>
      </c>
      <c r="D4" s="21" t="n">
        <v>12</v>
      </c>
      <c r="E4" s="22" t="n">
        <v>79930.71000000001</v>
      </c>
      <c r="F4" s="23" t="n">
        <v>0.2187</v>
      </c>
    </row>
    <row r="5">
      <c r="A5" s="16" t="inlineStr">
        <is>
          <t>2022-03</t>
        </is>
      </c>
      <c r="B5" s="17" t="n">
        <v>22</v>
      </c>
      <c r="C5" s="18" t="n">
        <v>1335771.5</v>
      </c>
      <c r="D5" s="17" t="n">
        <v>20</v>
      </c>
      <c r="E5" s="18" t="n">
        <v>60716.89</v>
      </c>
      <c r="F5" s="19" t="n">
        <v>0.3926</v>
      </c>
    </row>
    <row r="6">
      <c r="A6" s="20" t="inlineStr">
        <is>
          <t>2022-04</t>
        </is>
      </c>
      <c r="B6" s="21" t="n">
        <v>29</v>
      </c>
      <c r="C6" s="22" t="n">
        <v>2131935.5</v>
      </c>
      <c r="D6" s="21" t="n">
        <v>27</v>
      </c>
      <c r="E6" s="22" t="n">
        <v>73515.02</v>
      </c>
      <c r="F6" s="23" t="n">
        <v>0.596</v>
      </c>
    </row>
    <row r="7">
      <c r="A7" s="16" t="inlineStr">
        <is>
          <t>2022-05</t>
        </is>
      </c>
      <c r="B7" s="17" t="n">
        <v>50</v>
      </c>
      <c r="C7" s="18" t="n">
        <v>4615674.5</v>
      </c>
      <c r="D7" s="17" t="n">
        <v>48</v>
      </c>
      <c r="E7" s="18" t="n">
        <v>92313.49000000001</v>
      </c>
      <c r="F7" s="19" t="n">
        <v>1.165</v>
      </c>
    </row>
    <row r="8">
      <c r="A8" s="20" t="inlineStr">
        <is>
          <t>2022-06</t>
        </is>
      </c>
      <c r="B8" s="21" t="n">
        <v>57</v>
      </c>
      <c r="C8" s="22" t="n">
        <v>3486999</v>
      </c>
      <c r="D8" s="21" t="n">
        <v>53</v>
      </c>
      <c r="E8" s="22" t="n">
        <v>61175.42</v>
      </c>
      <c r="F8" s="23" t="n">
        <v>-0.2445</v>
      </c>
    </row>
    <row r="9">
      <c r="A9" s="16" t="inlineStr">
        <is>
          <t>2022-07</t>
        </is>
      </c>
      <c r="B9" s="17" t="n">
        <v>48</v>
      </c>
      <c r="C9" s="18" t="n">
        <v>2679318.5</v>
      </c>
      <c r="D9" s="17" t="n">
        <v>45</v>
      </c>
      <c r="E9" s="18" t="n">
        <v>55819.14</v>
      </c>
      <c r="F9" s="19" t="n">
        <v>-0.2316</v>
      </c>
    </row>
    <row r="10">
      <c r="A10" s="20" t="inlineStr">
        <is>
          <t>2022-08</t>
        </is>
      </c>
      <c r="B10" s="21" t="n">
        <v>72</v>
      </c>
      <c r="C10" s="22" t="n">
        <v>5482516</v>
      </c>
      <c r="D10" s="21" t="n">
        <v>70</v>
      </c>
      <c r="E10" s="22" t="n">
        <v>76146.06</v>
      </c>
      <c r="F10" s="23" t="n">
        <v>1.0462</v>
      </c>
    </row>
    <row r="11">
      <c r="A11" s="16" t="inlineStr">
        <is>
          <t>2022-09</t>
        </is>
      </c>
      <c r="B11" s="17" t="n">
        <v>79</v>
      </c>
      <c r="C11" s="18" t="n">
        <v>5484155.5</v>
      </c>
      <c r="D11" s="17" t="n">
        <v>70</v>
      </c>
      <c r="E11" s="18" t="n">
        <v>69419.69</v>
      </c>
      <c r="F11" s="19" t="n">
        <v>0.0003</v>
      </c>
    </row>
    <row r="12">
      <c r="A12" s="20" t="inlineStr">
        <is>
          <t>2022-10</t>
        </is>
      </c>
      <c r="B12" s="21" t="n">
        <v>99</v>
      </c>
      <c r="C12" s="22" t="n">
        <v>8818419</v>
      </c>
      <c r="D12" s="21" t="n">
        <v>87</v>
      </c>
      <c r="E12" s="22" t="n">
        <v>89074.94</v>
      </c>
      <c r="F12" s="23" t="n">
        <v>0.608</v>
      </c>
    </row>
    <row r="13">
      <c r="A13" s="16" t="inlineStr">
        <is>
          <t>2022-11</t>
        </is>
      </c>
      <c r="B13" s="17" t="n">
        <v>106</v>
      </c>
      <c r="C13" s="18" t="n">
        <v>8498198.5</v>
      </c>
      <c r="D13" s="17" t="n">
        <v>100</v>
      </c>
      <c r="E13" s="18" t="n">
        <v>80171.67999999999</v>
      </c>
      <c r="F13" s="19" t="n">
        <v>-0.0363</v>
      </c>
    </row>
    <row r="14">
      <c r="A14" s="20" t="inlineStr">
        <is>
          <t>2022-12</t>
        </is>
      </c>
      <c r="B14" s="21" t="n">
        <v>116</v>
      </c>
      <c r="C14" s="22" t="n">
        <v>9200358</v>
      </c>
      <c r="D14" s="21" t="n">
        <v>108</v>
      </c>
      <c r="E14" s="22" t="n">
        <v>79313.42999999999</v>
      </c>
      <c r="F14" s="23" t="n">
        <v>0.08260000000000001</v>
      </c>
    </row>
    <row r="15">
      <c r="A15" s="16" t="inlineStr">
        <is>
          <t>2023-01</t>
        </is>
      </c>
      <c r="B15" s="17" t="n">
        <v>153</v>
      </c>
      <c r="C15" s="18" t="n">
        <v>11446346</v>
      </c>
      <c r="D15" s="17" t="n">
        <v>141</v>
      </c>
      <c r="E15" s="18" t="n">
        <v>74812.72</v>
      </c>
      <c r="F15" s="19" t="n">
        <v>0.2441</v>
      </c>
    </row>
    <row r="16">
      <c r="A16" s="20" t="inlineStr">
        <is>
          <t>2023-02</t>
        </is>
      </c>
      <c r="B16" s="21" t="n">
        <v>144</v>
      </c>
      <c r="C16" s="22" t="n">
        <v>9925669</v>
      </c>
      <c r="D16" s="21" t="n">
        <v>133</v>
      </c>
      <c r="E16" s="22" t="n">
        <v>68928.25999999999</v>
      </c>
      <c r="F16" s="23" t="n">
        <v>-0.1329</v>
      </c>
    </row>
    <row r="17">
      <c r="A17" s="16" t="inlineStr">
        <is>
          <t>2023-03</t>
        </is>
      </c>
      <c r="B17" s="17" t="n">
        <v>154</v>
      </c>
      <c r="C17" s="18" t="n">
        <v>11216429.5</v>
      </c>
      <c r="D17" s="17" t="n">
        <v>139</v>
      </c>
      <c r="E17" s="18" t="n">
        <v>72833.96000000001</v>
      </c>
      <c r="F17" s="19" t="n">
        <v>0.13</v>
      </c>
    </row>
    <row r="18">
      <c r="A18" s="20" t="inlineStr">
        <is>
          <t>2023-04</t>
        </is>
      </c>
      <c r="B18" s="21" t="n">
        <v>197</v>
      </c>
      <c r="C18" s="22" t="n">
        <v>15530293.5</v>
      </c>
      <c r="D18" s="21" t="n">
        <v>173</v>
      </c>
      <c r="E18" s="22" t="n">
        <v>78833.98</v>
      </c>
      <c r="F18" s="23" t="n">
        <v>0.3846</v>
      </c>
    </row>
    <row r="19">
      <c r="A19" s="16" t="inlineStr">
        <is>
          <t>2023-05</t>
        </is>
      </c>
      <c r="B19" s="17" t="n">
        <v>210</v>
      </c>
      <c r="C19" s="18" t="n">
        <v>15134874.5</v>
      </c>
      <c r="D19" s="17" t="n">
        <v>188</v>
      </c>
      <c r="E19" s="18" t="n">
        <v>72070.83</v>
      </c>
      <c r="F19" s="19" t="n">
        <v>-0.0255</v>
      </c>
    </row>
    <row r="20">
      <c r="A20" s="20" t="inlineStr">
        <is>
          <t>2023-06</t>
        </is>
      </c>
      <c r="B20" s="21" t="n">
        <v>206</v>
      </c>
      <c r="C20" s="22" t="n">
        <v>14916934</v>
      </c>
      <c r="D20" s="21" t="n">
        <v>186</v>
      </c>
      <c r="E20" s="22" t="n">
        <v>72412.3</v>
      </c>
      <c r="F20" s="23" t="n">
        <v>-0.0144</v>
      </c>
    </row>
    <row r="21">
      <c r="A21" s="16" t="inlineStr">
        <is>
          <t>2023-07</t>
        </is>
      </c>
      <c r="B21" s="17" t="n">
        <v>210</v>
      </c>
      <c r="C21" s="18" t="n">
        <v>15767176.5</v>
      </c>
      <c r="D21" s="17" t="n">
        <v>189</v>
      </c>
      <c r="E21" s="18" t="n">
        <v>75081.78999999999</v>
      </c>
      <c r="F21" s="19" t="n">
        <v>0.057</v>
      </c>
    </row>
    <row r="22">
      <c r="A22" s="20" t="inlineStr">
        <is>
          <t>2023-08</t>
        </is>
      </c>
      <c r="B22" s="21" t="n">
        <v>260</v>
      </c>
      <c r="C22" s="22" t="n">
        <v>18968264.5</v>
      </c>
      <c r="D22" s="21" t="n">
        <v>234</v>
      </c>
      <c r="E22" s="22" t="n">
        <v>72954.86</v>
      </c>
      <c r="F22" s="23" t="n">
        <v>0.203</v>
      </c>
    </row>
    <row r="23">
      <c r="A23" s="16" t="inlineStr">
        <is>
          <t>2023-09</t>
        </is>
      </c>
      <c r="B23" s="17" t="n">
        <v>256</v>
      </c>
      <c r="C23" s="18" t="n">
        <v>19864672</v>
      </c>
      <c r="D23" s="17" t="n">
        <v>234</v>
      </c>
      <c r="E23" s="18" t="n">
        <v>77596.38</v>
      </c>
      <c r="F23" s="19" t="n">
        <v>0.0473</v>
      </c>
    </row>
    <row r="24">
      <c r="A24" s="20" t="inlineStr">
        <is>
          <t>2023-10</t>
        </is>
      </c>
      <c r="B24" s="21" t="n">
        <v>291</v>
      </c>
      <c r="C24" s="22" t="n">
        <v>22721167</v>
      </c>
      <c r="D24" s="21" t="n">
        <v>267</v>
      </c>
      <c r="E24" s="22" t="n">
        <v>78079.61</v>
      </c>
      <c r="F24" s="23" t="n">
        <v>0.1438</v>
      </c>
    </row>
    <row r="25">
      <c r="A25" s="16" t="inlineStr">
        <is>
          <t>2023-11</t>
        </is>
      </c>
      <c r="B25" s="17" t="n">
        <v>320</v>
      </c>
      <c r="C25" s="18" t="n">
        <v>23347615.5</v>
      </c>
      <c r="D25" s="17" t="n">
        <v>275</v>
      </c>
      <c r="E25" s="18" t="n">
        <v>72961.3</v>
      </c>
      <c r="F25" s="19" t="n">
        <v>0.0276</v>
      </c>
    </row>
    <row r="26">
      <c r="A26" s="20" t="inlineStr">
        <is>
          <t>2023-12</t>
        </is>
      </c>
      <c r="B26" s="21" t="n">
        <v>330</v>
      </c>
      <c r="C26" s="22" t="n">
        <v>23257649</v>
      </c>
      <c r="D26" s="21" t="n">
        <v>282</v>
      </c>
      <c r="E26" s="22" t="n">
        <v>70477.72</v>
      </c>
      <c r="F26" s="23" t="n">
        <v>-0.0039</v>
      </c>
    </row>
    <row r="27">
      <c r="A27" s="16" t="inlineStr">
        <is>
          <t>2024-01</t>
        </is>
      </c>
      <c r="B27" s="17" t="n">
        <v>348</v>
      </c>
      <c r="C27" s="18" t="n">
        <v>23037056</v>
      </c>
      <c r="D27" s="17" t="n">
        <v>308</v>
      </c>
      <c r="E27" s="18" t="n">
        <v>66198.44</v>
      </c>
      <c r="F27" s="19" t="n">
        <v>-0.0095</v>
      </c>
    </row>
    <row r="28">
      <c r="A28" s="20" t="inlineStr">
        <is>
          <t>2024-02</t>
        </is>
      </c>
      <c r="B28" s="21" t="n">
        <v>316</v>
      </c>
      <c r="C28" s="22" t="n">
        <v>22647852.5</v>
      </c>
      <c r="D28" s="21" t="n">
        <v>280</v>
      </c>
      <c r="E28" s="22" t="n">
        <v>71670.42</v>
      </c>
      <c r="F28" s="23" t="n">
        <v>-0.0169</v>
      </c>
    </row>
    <row r="29">
      <c r="A29" s="16" t="inlineStr">
        <is>
          <t>2024-03</t>
        </is>
      </c>
      <c r="B29" s="17" t="n">
        <v>408</v>
      </c>
      <c r="C29" s="18" t="n">
        <v>32686411.5</v>
      </c>
      <c r="D29" s="17" t="n">
        <v>346</v>
      </c>
      <c r="E29" s="18" t="n">
        <v>80113.75</v>
      </c>
      <c r="F29" s="19" t="n">
        <v>0.4432</v>
      </c>
    </row>
    <row r="30">
      <c r="A30" s="20" t="inlineStr">
        <is>
          <t>2024-04</t>
        </is>
      </c>
      <c r="B30" s="21" t="n">
        <v>453</v>
      </c>
      <c r="C30" s="22" t="n">
        <v>32431996.5</v>
      </c>
      <c r="D30" s="21" t="n">
        <v>382</v>
      </c>
      <c r="E30" s="22" t="n">
        <v>71593.81</v>
      </c>
      <c r="F30" s="23" t="n">
        <v>-0.0078</v>
      </c>
    </row>
    <row r="31">
      <c r="A31" s="16" t="inlineStr">
        <is>
          <t>2024-05</t>
        </is>
      </c>
      <c r="B31" s="17" t="n">
        <v>486</v>
      </c>
      <c r="C31" s="18" t="n">
        <v>34215054</v>
      </c>
      <c r="D31" s="17" t="n">
        <v>415</v>
      </c>
      <c r="E31" s="18" t="n">
        <v>70401.35000000001</v>
      </c>
      <c r="F31" s="19" t="n">
        <v>0.055</v>
      </c>
    </row>
    <row r="32">
      <c r="A32" s="20" t="inlineStr">
        <is>
          <t>2024-06</t>
        </is>
      </c>
      <c r="B32" s="21" t="n">
        <v>516</v>
      </c>
      <c r="C32" s="22" t="n">
        <v>37519513</v>
      </c>
      <c r="D32" s="21" t="n">
        <v>425</v>
      </c>
      <c r="E32" s="22" t="n">
        <v>72712.23</v>
      </c>
      <c r="F32" s="23" t="n">
        <v>0.09660000000000001</v>
      </c>
    </row>
    <row r="33">
      <c r="A33" s="16" t="inlineStr">
        <is>
          <t>2024-07</t>
        </is>
      </c>
      <c r="B33" s="17" t="n">
        <v>609</v>
      </c>
      <c r="C33" s="18" t="n">
        <v>43681205.5</v>
      </c>
      <c r="D33" s="17" t="n">
        <v>497</v>
      </c>
      <c r="E33" s="18" t="n">
        <v>71726.12</v>
      </c>
      <c r="F33" s="19" t="n">
        <v>0.1642</v>
      </c>
    </row>
    <row r="34">
      <c r="A34" s="20" t="inlineStr">
        <is>
          <t>2024-08</t>
        </is>
      </c>
      <c r="B34" s="21" t="n">
        <v>671</v>
      </c>
      <c r="C34" s="22" t="n">
        <v>54354531.5</v>
      </c>
      <c r="D34" s="21" t="n">
        <v>534</v>
      </c>
      <c r="E34" s="22" t="n">
        <v>81005.25999999999</v>
      </c>
      <c r="F34" s="23" t="n">
        <v>0.2443</v>
      </c>
    </row>
    <row r="35">
      <c r="A35" s="16" t="inlineStr">
        <is>
          <t>2024-09</t>
        </is>
      </c>
      <c r="B35" s="17" t="n">
        <v>694</v>
      </c>
      <c r="C35" s="18" t="n">
        <v>46250638.5</v>
      </c>
      <c r="D35" s="17" t="n">
        <v>547</v>
      </c>
      <c r="E35" s="18" t="n">
        <v>66643.57000000001</v>
      </c>
      <c r="F35" s="19" t="n">
        <v>-0.1491</v>
      </c>
    </row>
    <row r="36">
      <c r="A36" s="20" t="inlineStr">
        <is>
          <t>2024-10</t>
        </is>
      </c>
      <c r="B36" s="21" t="n">
        <v>851</v>
      </c>
      <c r="C36" s="22" t="n">
        <v>62125214</v>
      </c>
      <c r="D36" s="21" t="n">
        <v>613</v>
      </c>
      <c r="E36" s="22" t="n">
        <v>73002.60000000001</v>
      </c>
      <c r="F36" s="23" t="n">
        <v>0.3432</v>
      </c>
    </row>
    <row r="37">
      <c r="A37" s="16" t="inlineStr">
        <is>
          <t>2024-11</t>
        </is>
      </c>
      <c r="B37" s="17" t="n">
        <v>947</v>
      </c>
      <c r="C37" s="18" t="n">
        <v>70740193.5</v>
      </c>
      <c r="D37" s="17" t="n">
        <v>649</v>
      </c>
      <c r="E37" s="18" t="n">
        <v>74699.25</v>
      </c>
      <c r="F37" s="19" t="n">
        <v>0.1387</v>
      </c>
    </row>
    <row r="38">
      <c r="A38" s="20" t="inlineStr">
        <is>
          <t>2024-12</t>
        </is>
      </c>
      <c r="B38" s="21" t="n">
        <v>1115</v>
      </c>
      <c r="C38" s="22" t="n">
        <v>82362964.5</v>
      </c>
      <c r="D38" s="21" t="n">
        <v>671</v>
      </c>
      <c r="E38" s="22" t="n">
        <v>73868.13</v>
      </c>
      <c r="F38" s="23" t="n">
        <v>0.1643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8" customWidth="1" min="5" max="5"/>
    <col width="12" customWidth="1" min="6" max="6"/>
    <col width="8" customWidth="1" min="7" max="7"/>
  </cols>
  <sheetData>
    <row r="1" ht="35" customHeight="1">
      <c r="A1" s="12" t="inlineStr">
        <is>
          <t>Category Performance — Revenue &amp; Margin</t>
        </is>
      </c>
    </row>
    <row r="2">
      <c r="A2" s="13" t="inlineStr">
        <is>
          <t>Category</t>
        </is>
      </c>
      <c r="B2" s="14" t="inlineStr">
        <is>
          <t>Units Sold</t>
        </is>
      </c>
      <c r="C2" s="15" t="inlineStr">
        <is>
          <t>Revenue (₹)</t>
        </is>
      </c>
      <c r="D2" s="14" t="inlineStr">
        <is>
          <t>COGS (₹)</t>
        </is>
      </c>
      <c r="E2" s="24" t="inlineStr">
        <is>
          <t>Gross Profit (₹)</t>
        </is>
      </c>
      <c r="F2" s="25" t="inlineStr">
        <is>
          <t>GP Margin %</t>
        </is>
      </c>
      <c r="G2" s="13" t="inlineStr">
        <is>
          <t>Rank</t>
        </is>
      </c>
    </row>
    <row r="3">
      <c r="A3" s="16" t="inlineStr">
        <is>
          <t>Electronics</t>
        </is>
      </c>
      <c r="B3" s="17" t="n">
        <v>10084</v>
      </c>
      <c r="C3" s="18" t="n">
        <v>463159149.5</v>
      </c>
      <c r="D3" s="18" t="n">
        <v>233440874.12</v>
      </c>
      <c r="E3" s="18" t="n">
        <v>229718275.38</v>
      </c>
      <c r="F3" s="19" t="n">
        <v>0.4959812963383983</v>
      </c>
      <c r="G3" s="17" t="n">
        <v>1</v>
      </c>
    </row>
    <row r="4">
      <c r="A4" s="20" t="inlineStr">
        <is>
          <t>Sports &amp; Fitness</t>
        </is>
      </c>
      <c r="B4" s="21" t="n">
        <v>10639</v>
      </c>
      <c r="C4" s="22" t="n">
        <v>201869686.5</v>
      </c>
      <c r="D4" s="22" t="n">
        <v>105934480.91</v>
      </c>
      <c r="E4" s="22" t="n">
        <v>95935205.59</v>
      </c>
      <c r="F4" s="23" t="n">
        <v>0.4752333411386162</v>
      </c>
      <c r="G4" s="21" t="n">
        <v>2</v>
      </c>
    </row>
    <row r="5">
      <c r="A5" s="16" t="inlineStr">
        <is>
          <t>Home &amp; Kitchen</t>
        </is>
      </c>
      <c r="B5" s="17" t="n">
        <v>8816</v>
      </c>
      <c r="C5" s="18" t="n">
        <v>73492477</v>
      </c>
      <c r="D5" s="18" t="n">
        <v>37253936.28</v>
      </c>
      <c r="E5" s="18" t="n">
        <v>36238540.72</v>
      </c>
      <c r="F5" s="19" t="n">
        <v>0.4930918401348753</v>
      </c>
      <c r="G5" s="17" t="n">
        <v>3</v>
      </c>
    </row>
    <row r="6">
      <c r="A6" s="20" t="inlineStr">
        <is>
          <t>Clothing</t>
        </is>
      </c>
      <c r="B6" s="21" t="n">
        <v>9439</v>
      </c>
      <c r="C6" s="22" t="n">
        <v>34614616</v>
      </c>
      <c r="D6" s="22" t="n">
        <v>17126080.11</v>
      </c>
      <c r="E6" s="22" t="n">
        <v>17488535.89</v>
      </c>
      <c r="F6" s="23" t="n">
        <v>0.5052355886311147</v>
      </c>
      <c r="G6" s="21" t="n">
        <v>4</v>
      </c>
    </row>
    <row r="7">
      <c r="A7" s="16" t="inlineStr">
        <is>
          <t>Beauty &amp; Health</t>
        </is>
      </c>
      <c r="B7" s="17" t="n">
        <v>8676</v>
      </c>
      <c r="C7" s="18" t="n">
        <v>19079294.5</v>
      </c>
      <c r="D7" s="18" t="n">
        <v>9367901.780000001</v>
      </c>
      <c r="E7" s="18" t="n">
        <v>9711392.719999999</v>
      </c>
      <c r="F7" s="19" t="n">
        <v>0.5090016677503457</v>
      </c>
      <c r="G7" s="17" t="n">
        <v>5</v>
      </c>
    </row>
    <row r="8">
      <c r="A8" s="20" t="inlineStr">
        <is>
          <t>Books</t>
        </is>
      </c>
      <c r="B8" s="21" t="n">
        <v>8999</v>
      </c>
      <c r="C8" s="22" t="n">
        <v>5414078</v>
      </c>
      <c r="D8" s="22" t="n">
        <v>2687793.29</v>
      </c>
      <c r="E8" s="22" t="n">
        <v>2726284.71</v>
      </c>
      <c r="F8" s="23" t="n">
        <v>0.503554752997648</v>
      </c>
      <c r="G8" s="21" t="n">
        <v>6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2" customWidth="1" min="4" max="4"/>
    <col width="12" customWidth="1" min="5" max="5"/>
    <col width="16" customWidth="1" min="6" max="6"/>
    <col width="16" customWidth="1" min="7" max="7"/>
    <col width="14" customWidth="1" min="8" max="8"/>
  </cols>
  <sheetData>
    <row r="1" ht="35" customHeight="1">
      <c r="A1" s="12" t="inlineStr">
        <is>
          <t>Top 25 Products by Revenue</t>
        </is>
      </c>
    </row>
    <row r="2">
      <c r="A2" s="13" t="inlineStr">
        <is>
          <t>Rank</t>
        </is>
      </c>
      <c r="B2" s="14" t="inlineStr">
        <is>
          <t>Product Name</t>
        </is>
      </c>
      <c r="C2" s="14" t="inlineStr">
        <is>
          <t>Category</t>
        </is>
      </c>
      <c r="D2" s="14" t="inlineStr">
        <is>
          <t>Brand</t>
        </is>
      </c>
      <c r="E2" s="15" t="inlineStr">
        <is>
          <t>Units Sold</t>
        </is>
      </c>
      <c r="F2" s="15" t="inlineStr">
        <is>
          <t>Revenue (₹)</t>
        </is>
      </c>
      <c r="G2" s="25" t="inlineStr">
        <is>
          <t>Avg Discount %</t>
        </is>
      </c>
      <c r="H2" s="24" t="inlineStr">
        <is>
          <t>Revenue Share %</t>
        </is>
      </c>
    </row>
    <row r="3">
      <c r="A3" s="17" t="n">
        <v>1</v>
      </c>
      <c r="B3" s="16" t="inlineStr">
        <is>
          <t>Smartphone Lite</t>
        </is>
      </c>
      <c r="C3" s="16" t="inlineStr">
        <is>
          <t>Electronics</t>
        </is>
      </c>
      <c r="D3" s="16" t="inlineStr">
        <is>
          <t>TechNova</t>
        </is>
      </c>
      <c r="E3" s="17" t="n">
        <v>494</v>
      </c>
      <c r="F3" s="18" t="n">
        <v>38799229</v>
      </c>
      <c r="G3" s="26" t="n">
        <v>7.1</v>
      </c>
      <c r="H3" s="27" t="n">
        <v>6.74</v>
      </c>
    </row>
    <row r="4">
      <c r="A4" s="21" t="n">
        <v>2</v>
      </c>
      <c r="B4" s="20" t="inlineStr">
        <is>
          <t>Monitor Lite</t>
        </is>
      </c>
      <c r="C4" s="20" t="inlineStr">
        <is>
          <t>Electronics</t>
        </is>
      </c>
      <c r="D4" s="20" t="inlineStr">
        <is>
          <t>FitLife</t>
        </is>
      </c>
      <c r="E4" s="21" t="n">
        <v>518</v>
      </c>
      <c r="F4" s="22" t="n">
        <v>38292744</v>
      </c>
      <c r="G4" s="28" t="n">
        <v>8.699999999999999</v>
      </c>
      <c r="H4" s="29" t="n">
        <v>6.65</v>
      </c>
    </row>
    <row r="5">
      <c r="A5" s="17" t="n">
        <v>3</v>
      </c>
      <c r="B5" s="16" t="inlineStr">
        <is>
          <t>Smartphone Pro</t>
        </is>
      </c>
      <c r="C5" s="16" t="inlineStr">
        <is>
          <t>Electronics</t>
        </is>
      </c>
      <c r="D5" s="16" t="inlineStr">
        <is>
          <t>ShopX</t>
        </is>
      </c>
      <c r="E5" s="17" t="n">
        <v>560</v>
      </c>
      <c r="F5" s="18" t="n">
        <v>34411161</v>
      </c>
      <c r="G5" s="26" t="n">
        <v>7.3</v>
      </c>
      <c r="H5" s="27" t="n">
        <v>5.98</v>
      </c>
    </row>
    <row r="6">
      <c r="A6" s="21" t="n">
        <v>4</v>
      </c>
      <c r="B6" s="20" t="inlineStr">
        <is>
          <t>Laptop Lite</t>
        </is>
      </c>
      <c r="C6" s="20" t="inlineStr">
        <is>
          <t>Electronics</t>
        </is>
      </c>
      <c r="D6" s="20" t="inlineStr">
        <is>
          <t>BrandA</t>
        </is>
      </c>
      <c r="E6" s="21" t="n">
        <v>473</v>
      </c>
      <c r="F6" s="22" t="n">
        <v>32913184.5</v>
      </c>
      <c r="G6" s="28" t="n">
        <v>7.6</v>
      </c>
      <c r="H6" s="29" t="n">
        <v>5.72</v>
      </c>
    </row>
    <row r="7">
      <c r="A7" s="17" t="n">
        <v>5</v>
      </c>
      <c r="B7" s="16" t="inlineStr">
        <is>
          <t>Monitor Standard</t>
        </is>
      </c>
      <c r="C7" s="16" t="inlineStr">
        <is>
          <t>Electronics</t>
        </is>
      </c>
      <c r="D7" s="16" t="inlineStr">
        <is>
          <t>BrandA</t>
        </is>
      </c>
      <c r="E7" s="17" t="n">
        <v>462</v>
      </c>
      <c r="F7" s="18" t="n">
        <v>32134987.5</v>
      </c>
      <c r="G7" s="26" t="n">
        <v>8.1</v>
      </c>
      <c r="H7" s="27" t="n">
        <v>5.58</v>
      </c>
    </row>
    <row r="8">
      <c r="A8" s="21" t="n">
        <v>6</v>
      </c>
      <c r="B8" s="20" t="inlineStr">
        <is>
          <t>Power Bank Standard</t>
        </is>
      </c>
      <c r="C8" s="20" t="inlineStr">
        <is>
          <t>Electronics</t>
        </is>
      </c>
      <c r="D8" s="20" t="inlineStr">
        <is>
          <t>ShopX</t>
        </is>
      </c>
      <c r="E8" s="21" t="n">
        <v>520</v>
      </c>
      <c r="F8" s="22" t="n">
        <v>30662319</v>
      </c>
      <c r="G8" s="28" t="n">
        <v>7.8</v>
      </c>
      <c r="H8" s="29" t="n">
        <v>5.33</v>
      </c>
    </row>
    <row r="9">
      <c r="A9" s="17" t="n">
        <v>7</v>
      </c>
      <c r="B9" s="16" t="inlineStr">
        <is>
          <t>Smartphone Standard</t>
        </is>
      </c>
      <c r="C9" s="16" t="inlineStr">
        <is>
          <t>Electronics</t>
        </is>
      </c>
      <c r="D9" s="16" t="inlineStr">
        <is>
          <t>GlowUp</t>
        </is>
      </c>
      <c r="E9" s="17" t="n">
        <v>472</v>
      </c>
      <c r="F9" s="18" t="n">
        <v>28425829.5</v>
      </c>
      <c r="G9" s="26" t="n">
        <v>7.5</v>
      </c>
      <c r="H9" s="27" t="n">
        <v>4.94</v>
      </c>
    </row>
    <row r="10">
      <c r="A10" s="21" t="n">
        <v>8</v>
      </c>
      <c r="B10" s="20" t="inlineStr">
        <is>
          <t>Earbuds Pro</t>
        </is>
      </c>
      <c r="C10" s="20" t="inlineStr">
        <is>
          <t>Electronics</t>
        </is>
      </c>
      <c r="D10" s="20" t="inlineStr">
        <is>
          <t>TechNova</t>
        </is>
      </c>
      <c r="E10" s="21" t="n">
        <v>560</v>
      </c>
      <c r="F10" s="22" t="n">
        <v>27146682.5</v>
      </c>
      <c r="G10" s="28" t="n">
        <v>7.1</v>
      </c>
      <c r="H10" s="29" t="n">
        <v>4.72</v>
      </c>
    </row>
    <row r="11">
      <c r="A11" s="17" t="n">
        <v>9</v>
      </c>
      <c r="B11" s="16" t="inlineStr">
        <is>
          <t>Keyboard Pro</t>
        </is>
      </c>
      <c r="C11" s="16" t="inlineStr">
        <is>
          <t>Electronics</t>
        </is>
      </c>
      <c r="D11" s="16" t="inlineStr">
        <is>
          <t>StyleHub</t>
        </is>
      </c>
      <c r="E11" s="17" t="n">
        <v>445</v>
      </c>
      <c r="F11" s="18" t="n">
        <v>26749142</v>
      </c>
      <c r="G11" s="26" t="n">
        <v>7.5</v>
      </c>
      <c r="H11" s="27" t="n">
        <v>4.65</v>
      </c>
    </row>
    <row r="12">
      <c r="A12" s="21" t="n">
        <v>10</v>
      </c>
      <c r="B12" s="20" t="inlineStr">
        <is>
          <t>Keyboard Standard</t>
        </is>
      </c>
      <c r="C12" s="20" t="inlineStr">
        <is>
          <t>Electronics</t>
        </is>
      </c>
      <c r="D12" s="20" t="inlineStr">
        <is>
          <t>TechNova</t>
        </is>
      </c>
      <c r="E12" s="21" t="n">
        <v>557</v>
      </c>
      <c r="F12" s="22" t="n">
        <v>24538767.5</v>
      </c>
      <c r="G12" s="28" t="n">
        <v>7.4</v>
      </c>
      <c r="H12" s="29" t="n">
        <v>4.26</v>
      </c>
    </row>
    <row r="13">
      <c r="A13" s="17" t="n">
        <v>11</v>
      </c>
      <c r="B13" s="16" t="inlineStr">
        <is>
          <t>Resistance Bands Standard</t>
        </is>
      </c>
      <c r="C13" s="16" t="inlineStr">
        <is>
          <t>Sports &amp; Fitness</t>
        </is>
      </c>
      <c r="D13" s="16" t="inlineStr">
        <is>
          <t>BrandA</t>
        </is>
      </c>
      <c r="E13" s="17" t="n">
        <v>554</v>
      </c>
      <c r="F13" s="18" t="n">
        <v>21866000</v>
      </c>
      <c r="G13" s="26" t="n">
        <v>6.4</v>
      </c>
      <c r="H13" s="27" t="n">
        <v>3.8</v>
      </c>
    </row>
    <row r="14">
      <c r="A14" s="21" t="n">
        <v>12</v>
      </c>
      <c r="B14" s="20" t="inlineStr">
        <is>
          <t>Smartwatch Standard</t>
        </is>
      </c>
      <c r="C14" s="20" t="inlineStr">
        <is>
          <t>Electronics</t>
        </is>
      </c>
      <c r="D14" s="20" t="inlineStr">
        <is>
          <t>BrandA</t>
        </is>
      </c>
      <c r="E14" s="21" t="n">
        <v>473</v>
      </c>
      <c r="F14" s="22" t="n">
        <v>20712829.5</v>
      </c>
      <c r="G14" s="28" t="n">
        <v>6.6</v>
      </c>
      <c r="H14" s="29" t="n">
        <v>3.6</v>
      </c>
    </row>
    <row r="15">
      <c r="A15" s="17" t="n">
        <v>13</v>
      </c>
      <c r="B15" s="16" t="inlineStr">
        <is>
          <t>Portable Speaker Standard</t>
        </is>
      </c>
      <c r="C15" s="16" t="inlineStr">
        <is>
          <t>Electronics</t>
        </is>
      </c>
      <c r="D15" s="16" t="inlineStr">
        <is>
          <t>ShopX</t>
        </is>
      </c>
      <c r="E15" s="17" t="n">
        <v>487</v>
      </c>
      <c r="F15" s="18" t="n">
        <v>20339659</v>
      </c>
      <c r="G15" s="26" t="n">
        <v>7.2</v>
      </c>
      <c r="H15" s="27" t="n">
        <v>3.53</v>
      </c>
    </row>
    <row r="16">
      <c r="A16" s="21" t="n">
        <v>14</v>
      </c>
      <c r="B16" s="20" t="inlineStr">
        <is>
          <t>Earbuds Lite</t>
        </is>
      </c>
      <c r="C16" s="20" t="inlineStr">
        <is>
          <t>Electronics</t>
        </is>
      </c>
      <c r="D16" s="20" t="inlineStr">
        <is>
          <t>ShopX</t>
        </is>
      </c>
      <c r="E16" s="21" t="n">
        <v>587</v>
      </c>
      <c r="F16" s="22" t="n">
        <v>19912638</v>
      </c>
      <c r="G16" s="28" t="n">
        <v>7.1</v>
      </c>
      <c r="H16" s="29" t="n">
        <v>3.46</v>
      </c>
    </row>
    <row r="17">
      <c r="A17" s="17" t="n">
        <v>15</v>
      </c>
      <c r="B17" s="16" t="inlineStr">
        <is>
          <t>Camera Standard</t>
        </is>
      </c>
      <c r="C17" s="16" t="inlineStr">
        <is>
          <t>Electronics</t>
        </is>
      </c>
      <c r="D17" s="16" t="inlineStr">
        <is>
          <t>BrandA</t>
        </is>
      </c>
      <c r="E17" s="17" t="n">
        <v>497</v>
      </c>
      <c r="F17" s="18" t="n">
        <v>19834955</v>
      </c>
      <c r="G17" s="26" t="n">
        <v>6.3</v>
      </c>
      <c r="H17" s="27" t="n">
        <v>3.45</v>
      </c>
    </row>
    <row r="18">
      <c r="A18" s="21" t="n">
        <v>16</v>
      </c>
      <c r="B18" s="20" t="inlineStr">
        <is>
          <t>Treadmill Pro</t>
        </is>
      </c>
      <c r="C18" s="20" t="inlineStr">
        <is>
          <t>Sports &amp; Fitness</t>
        </is>
      </c>
      <c r="D18" s="20" t="inlineStr">
        <is>
          <t>BrandA</t>
        </is>
      </c>
      <c r="E18" s="21" t="n">
        <v>512</v>
      </c>
      <c r="F18" s="22" t="n">
        <v>18233572.5</v>
      </c>
      <c r="G18" s="28" t="n">
        <v>7.4</v>
      </c>
      <c r="H18" s="29" t="n">
        <v>3.17</v>
      </c>
    </row>
    <row r="19">
      <c r="A19" s="17" t="n">
        <v>17</v>
      </c>
      <c r="B19" s="16" t="inlineStr">
        <is>
          <t>Laptop Standard</t>
        </is>
      </c>
      <c r="C19" s="16" t="inlineStr">
        <is>
          <t>Electronics</t>
        </is>
      </c>
      <c r="D19" s="16" t="inlineStr">
        <is>
          <t>BrandA</t>
        </is>
      </c>
      <c r="E19" s="17" t="n">
        <v>427</v>
      </c>
      <c r="F19" s="18" t="n">
        <v>17962542</v>
      </c>
      <c r="G19" s="26" t="n">
        <v>7.4</v>
      </c>
      <c r="H19" s="27" t="n">
        <v>3.12</v>
      </c>
    </row>
    <row r="20">
      <c r="A20" s="21" t="n">
        <v>18</v>
      </c>
      <c r="B20" s="20" t="inlineStr">
        <is>
          <t>Jump Rope Lite</t>
        </is>
      </c>
      <c r="C20" s="20" t="inlineStr">
        <is>
          <t>Sports &amp; Fitness</t>
        </is>
      </c>
      <c r="D20" s="20" t="inlineStr">
        <is>
          <t>HomeEase</t>
        </is>
      </c>
      <c r="E20" s="21" t="n">
        <v>540</v>
      </c>
      <c r="F20" s="22" t="n">
        <v>17864400.5</v>
      </c>
      <c r="G20" s="28" t="n">
        <v>6.8</v>
      </c>
      <c r="H20" s="29" t="n">
        <v>3.1</v>
      </c>
    </row>
    <row r="21">
      <c r="A21" s="17" t="n">
        <v>19</v>
      </c>
      <c r="B21" s="16" t="inlineStr">
        <is>
          <t>Monitor Pro</t>
        </is>
      </c>
      <c r="C21" s="16" t="inlineStr">
        <is>
          <t>Electronics</t>
        </is>
      </c>
      <c r="D21" s="16" t="inlineStr">
        <is>
          <t>TechNova</t>
        </is>
      </c>
      <c r="E21" s="17" t="n">
        <v>552</v>
      </c>
      <c r="F21" s="18" t="n">
        <v>17401500</v>
      </c>
      <c r="G21" s="26" t="n">
        <v>6.9</v>
      </c>
      <c r="H21" s="27" t="n">
        <v>3.02</v>
      </c>
    </row>
    <row r="22">
      <c r="A22" s="21" t="n">
        <v>20</v>
      </c>
      <c r="B22" s="20" t="inlineStr">
        <is>
          <t>Treadmill Lite</t>
        </is>
      </c>
      <c r="C22" s="20" t="inlineStr">
        <is>
          <t>Sports &amp; Fitness</t>
        </is>
      </c>
      <c r="D22" s="20" t="inlineStr">
        <is>
          <t>HomeEase</t>
        </is>
      </c>
      <c r="E22" s="21" t="n">
        <v>466</v>
      </c>
      <c r="F22" s="22" t="n">
        <v>16396884</v>
      </c>
      <c r="G22" s="28" t="n">
        <v>6.5</v>
      </c>
      <c r="H22" s="29" t="n">
        <v>2.85</v>
      </c>
    </row>
    <row r="23">
      <c r="A23" s="17" t="n">
        <v>21</v>
      </c>
      <c r="B23" s="16" t="inlineStr">
        <is>
          <t>Yoga Mat Standard</t>
        </is>
      </c>
      <c r="C23" s="16" t="inlineStr">
        <is>
          <t>Sports &amp; Fitness</t>
        </is>
      </c>
      <c r="D23" s="16" t="inlineStr">
        <is>
          <t>FitLife</t>
        </is>
      </c>
      <c r="E23" s="17" t="n">
        <v>435</v>
      </c>
      <c r="F23" s="18" t="n">
        <v>15509577</v>
      </c>
      <c r="G23" s="26" t="n">
        <v>6.2</v>
      </c>
      <c r="H23" s="27" t="n">
        <v>2.69</v>
      </c>
    </row>
    <row r="24">
      <c r="A24" s="21" t="n">
        <v>22</v>
      </c>
      <c r="B24" s="20" t="inlineStr">
        <is>
          <t>Yoga Mat Lite</t>
        </is>
      </c>
      <c r="C24" s="20" t="inlineStr">
        <is>
          <t>Sports &amp; Fitness</t>
        </is>
      </c>
      <c r="D24" s="20" t="inlineStr">
        <is>
          <t>ShopX</t>
        </is>
      </c>
      <c r="E24" s="21" t="n">
        <v>582</v>
      </c>
      <c r="F24" s="22" t="n">
        <v>15470574</v>
      </c>
      <c r="G24" s="28" t="n">
        <v>6.1</v>
      </c>
      <c r="H24" s="29" t="n">
        <v>2.69</v>
      </c>
    </row>
    <row r="25">
      <c r="A25" s="17" t="n">
        <v>23</v>
      </c>
      <c r="B25" s="16" t="inlineStr">
        <is>
          <t>Treadmill Standard</t>
        </is>
      </c>
      <c r="C25" s="16" t="inlineStr">
        <is>
          <t>Sports &amp; Fitness</t>
        </is>
      </c>
      <c r="D25" s="16" t="inlineStr">
        <is>
          <t>BrandB</t>
        </is>
      </c>
      <c r="E25" s="17" t="n">
        <v>537</v>
      </c>
      <c r="F25" s="18" t="n">
        <v>14119026</v>
      </c>
      <c r="G25" s="26" t="n">
        <v>7.2</v>
      </c>
      <c r="H25" s="27" t="n">
        <v>2.45</v>
      </c>
    </row>
    <row r="26">
      <c r="A26" s="21" t="n">
        <v>24</v>
      </c>
      <c r="B26" s="20" t="inlineStr">
        <is>
          <t>Sports Shoes Standard</t>
        </is>
      </c>
      <c r="C26" s="20" t="inlineStr">
        <is>
          <t>Sports &amp; Fitness</t>
        </is>
      </c>
      <c r="D26" s="20" t="inlineStr">
        <is>
          <t>FitLife</t>
        </is>
      </c>
      <c r="E26" s="21" t="n">
        <v>514</v>
      </c>
      <c r="F26" s="22" t="n">
        <v>13266006</v>
      </c>
      <c r="G26" s="28" t="n">
        <v>6.3</v>
      </c>
      <c r="H26" s="29" t="n">
        <v>2.31</v>
      </c>
    </row>
    <row r="27">
      <c r="A27" s="17" t="n">
        <v>25</v>
      </c>
      <c r="B27" s="16" t="inlineStr">
        <is>
          <t>Keyboard Lite</t>
        </is>
      </c>
      <c r="C27" s="16" t="inlineStr">
        <is>
          <t>Electronics</t>
        </is>
      </c>
      <c r="D27" s="16" t="inlineStr">
        <is>
          <t>TechNova</t>
        </is>
      </c>
      <c r="E27" s="17" t="n">
        <v>527</v>
      </c>
      <c r="F27" s="18" t="n">
        <v>12567287.5</v>
      </c>
      <c r="G27" s="26" t="n">
        <v>7.1</v>
      </c>
      <c r="H27" s="27" t="n">
        <v>2.18</v>
      </c>
    </row>
  </sheetData>
  <mergeCells count="1">
    <mergeCell ref="A1:H1"/>
  </mergeCells>
  <conditionalFormatting sqref="F3:F27">
    <cfRule type="dataBar" priority="1">
      <dataBar>
        <cfvo type="min" val="0"/>
        <cfvo type="max"/>
        <color rgb="0000B4D8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4" customWidth="1" min="4" max="4"/>
    <col width="18" customWidth="1" min="5" max="5"/>
    <col width="18" customWidth="1" min="6" max="6"/>
    <col width="14" customWidth="1" min="7" max="7"/>
  </cols>
  <sheetData>
    <row r="1" ht="35" customHeight="1">
      <c r="A1" s="12" t="inlineStr">
        <is>
          <t>RFM Customer Segmentation</t>
        </is>
      </c>
    </row>
    <row r="2">
      <c r="A2" s="13" t="inlineStr">
        <is>
          <t>Segment</t>
        </is>
      </c>
      <c r="B2" s="14" t="inlineStr">
        <is>
          <t>Customers</t>
        </is>
      </c>
      <c r="C2" s="25" t="inlineStr">
        <is>
          <t>Avg Recency (Days)</t>
        </is>
      </c>
      <c r="D2" s="15" t="inlineStr">
        <is>
          <t>Avg Frequency</t>
        </is>
      </c>
      <c r="E2" s="24" t="inlineStr">
        <is>
          <t>Avg Monetary (₹)</t>
        </is>
      </c>
      <c r="F2" s="24" t="inlineStr">
        <is>
          <t>Total Revenue (₹)</t>
        </is>
      </c>
      <c r="G2" s="14" t="inlineStr">
        <is>
          <t>% of Revenue</t>
        </is>
      </c>
    </row>
    <row r="3">
      <c r="A3" s="30" t="inlineStr">
        <is>
          <t>At Risk</t>
        </is>
      </c>
      <c r="B3" s="17" t="n">
        <v>393</v>
      </c>
      <c r="C3" s="17" t="n">
        <v>168</v>
      </c>
      <c r="D3" s="17" t="n">
        <v>6.5</v>
      </c>
      <c r="E3" s="18" t="n">
        <v>467055.41</v>
      </c>
      <c r="F3" s="18" t="n">
        <v>183552778</v>
      </c>
      <c r="G3" s="27" t="n">
        <v>23.01</v>
      </c>
    </row>
    <row r="4">
      <c r="A4" s="31" t="inlineStr">
        <is>
          <t>Champions</t>
        </is>
      </c>
      <c r="B4" s="21" t="n">
        <v>393</v>
      </c>
      <c r="C4" s="21" t="n">
        <v>16</v>
      </c>
      <c r="D4" s="21" t="n">
        <v>7.9</v>
      </c>
      <c r="E4" s="22" t="n">
        <v>565840.95</v>
      </c>
      <c r="F4" s="22" t="n">
        <v>222375494</v>
      </c>
      <c r="G4" s="29" t="n">
        <v>27.88</v>
      </c>
    </row>
    <row r="5">
      <c r="A5" s="32" t="inlineStr">
        <is>
          <t>High Spender</t>
        </is>
      </c>
      <c r="B5" s="17" t="n">
        <v>28</v>
      </c>
      <c r="C5" s="17" t="n">
        <v>62</v>
      </c>
      <c r="D5" s="17" t="n">
        <v>4.2</v>
      </c>
      <c r="E5" s="18" t="n">
        <v>592533.7</v>
      </c>
      <c r="F5" s="18" t="n">
        <v>16590943.5</v>
      </c>
      <c r="G5" s="27" t="n">
        <v>2.08</v>
      </c>
    </row>
    <row r="6">
      <c r="A6" s="33" t="inlineStr">
        <is>
          <t>Lost</t>
        </is>
      </c>
      <c r="B6" s="21" t="n">
        <v>400</v>
      </c>
      <c r="C6" s="21" t="n">
        <v>229</v>
      </c>
      <c r="D6" s="21" t="n">
        <v>3.1</v>
      </c>
      <c r="E6" s="22" t="n">
        <v>231780.92</v>
      </c>
      <c r="F6" s="22" t="n">
        <v>92712370</v>
      </c>
      <c r="G6" s="29" t="n">
        <v>11.62</v>
      </c>
    </row>
    <row r="7">
      <c r="A7" s="34" t="inlineStr">
        <is>
          <t>Loyal</t>
        </is>
      </c>
      <c r="B7" s="17" t="n">
        <v>405</v>
      </c>
      <c r="C7" s="17" t="n">
        <v>42</v>
      </c>
      <c r="D7" s="17" t="n">
        <v>6.3</v>
      </c>
      <c r="E7" s="18" t="n">
        <v>467516.15</v>
      </c>
      <c r="F7" s="18" t="n">
        <v>189344041.5</v>
      </c>
      <c r="G7" s="27" t="n">
        <v>23.74</v>
      </c>
    </row>
    <row r="8">
      <c r="A8" s="35" t="inlineStr">
        <is>
          <t>New/Recent</t>
        </is>
      </c>
      <c r="B8" s="21" t="n">
        <v>242</v>
      </c>
      <c r="C8" s="21" t="n">
        <v>19</v>
      </c>
      <c r="D8" s="21" t="n">
        <v>3.5</v>
      </c>
      <c r="E8" s="22" t="n">
        <v>277817.62</v>
      </c>
      <c r="F8" s="22" t="n">
        <v>67231863.5</v>
      </c>
      <c r="G8" s="29" t="n">
        <v>8.43</v>
      </c>
    </row>
    <row r="9">
      <c r="A9" s="36" t="inlineStr">
        <is>
          <t>Potential Loyal</t>
        </is>
      </c>
      <c r="B9" s="17" t="n">
        <v>125</v>
      </c>
      <c r="C9" s="17" t="n">
        <v>60</v>
      </c>
      <c r="D9" s="17" t="n">
        <v>3.2</v>
      </c>
      <c r="E9" s="18" t="n">
        <v>206574.49</v>
      </c>
      <c r="F9" s="18" t="n">
        <v>25821811</v>
      </c>
      <c r="G9" s="27" t="n">
        <v>3.24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8" customWidth="1" min="3" max="3"/>
    <col width="18" customWidth="1" min="4" max="4"/>
    <col width="12" customWidth="1" min="5" max="5"/>
  </cols>
  <sheetData>
    <row r="1" ht="35" customHeight="1">
      <c r="A1" s="12" t="inlineStr">
        <is>
          <t>Returns &amp; Refunds Analysis</t>
        </is>
      </c>
    </row>
    <row r="2">
      <c r="A2" s="37" t="n"/>
    </row>
    <row r="3">
      <c r="A3" s="38" t="inlineStr">
        <is>
          <t>Total Returns</t>
        </is>
      </c>
      <c r="C3" s="38" t="inlineStr">
        <is>
          <t>Total Refunded (₹)</t>
        </is>
      </c>
      <c r="E3" s="38" t="inlineStr">
        <is>
          <t>Avg Refund (₹)</t>
        </is>
      </c>
      <c r="G3" s="38" t="inlineStr">
        <is>
          <t>Avg Days to Return</t>
        </is>
      </c>
    </row>
    <row r="4">
      <c r="A4" s="39" t="n">
        <v>693</v>
      </c>
      <c r="C4" s="39" t="n">
        <v>38584413.03</v>
      </c>
      <c r="E4" s="39" t="n">
        <v>55677.36</v>
      </c>
      <c r="G4" s="39" t="n">
        <v>17.13</v>
      </c>
    </row>
    <row r="6">
      <c r="A6" s="13" t="inlineStr">
        <is>
          <t>Return Reason</t>
        </is>
      </c>
      <c r="B6" s="14" t="inlineStr">
        <is>
          <t>Count</t>
        </is>
      </c>
      <c r="C6" s="40" t="inlineStr">
        <is>
          <t>Total Refund (₹)</t>
        </is>
      </c>
      <c r="D6" s="25" t="inlineStr">
        <is>
          <t>Avg Refund (₹)</t>
        </is>
      </c>
      <c r="E6" s="14" t="inlineStr">
        <is>
          <t>% of Total</t>
        </is>
      </c>
    </row>
    <row r="7">
      <c r="A7" s="16" t="inlineStr">
        <is>
          <t>Duplicate order</t>
        </is>
      </c>
      <c r="B7" s="17" t="n">
        <v>116</v>
      </c>
      <c r="C7" s="18" t="n">
        <v>6446343.95</v>
      </c>
      <c r="D7" s="18" t="n">
        <v>55571.93</v>
      </c>
      <c r="E7" s="17" t="n">
        <v>16.74</v>
      </c>
    </row>
    <row r="8">
      <c r="A8" s="20" t="inlineStr">
        <is>
          <t>Defective product</t>
        </is>
      </c>
      <c r="B8" s="21" t="n">
        <v>109</v>
      </c>
      <c r="C8" s="22" t="n">
        <v>6823531.35</v>
      </c>
      <c r="D8" s="22" t="n">
        <v>62601.21</v>
      </c>
      <c r="E8" s="21" t="n">
        <v>15.73</v>
      </c>
    </row>
    <row r="9">
      <c r="A9" s="16" t="inlineStr">
        <is>
          <t>Not as described</t>
        </is>
      </c>
      <c r="B9" s="17" t="n">
        <v>105</v>
      </c>
      <c r="C9" s="18" t="n">
        <v>6718103.55</v>
      </c>
      <c r="D9" s="18" t="n">
        <v>63981.94</v>
      </c>
      <c r="E9" s="17" t="n">
        <v>15.15</v>
      </c>
    </row>
    <row r="10">
      <c r="A10" s="20" t="inlineStr">
        <is>
          <t>Damaged in transit</t>
        </is>
      </c>
      <c r="B10" s="21" t="n">
        <v>95</v>
      </c>
      <c r="C10" s="22" t="n">
        <v>5346476.23</v>
      </c>
      <c r="D10" s="22" t="n">
        <v>56278.7</v>
      </c>
      <c r="E10" s="21" t="n">
        <v>13.71</v>
      </c>
    </row>
    <row r="11">
      <c r="A11" s="16" t="inlineStr">
        <is>
          <t>Better price elsewhere</t>
        </is>
      </c>
      <c r="B11" s="17" t="n">
        <v>94</v>
      </c>
      <c r="C11" s="18" t="n">
        <v>4547687.42</v>
      </c>
      <c r="D11" s="18" t="n">
        <v>48379.65</v>
      </c>
      <c r="E11" s="17" t="n">
        <v>13.56</v>
      </c>
    </row>
    <row r="12">
      <c r="A12" s="20" t="inlineStr">
        <is>
          <t>Wrong item delivered</t>
        </is>
      </c>
      <c r="B12" s="21" t="n">
        <v>90</v>
      </c>
      <c r="C12" s="22" t="n">
        <v>4379156.77</v>
      </c>
      <c r="D12" s="22" t="n">
        <v>48657.3</v>
      </c>
      <c r="E12" s="21" t="n">
        <v>12.99</v>
      </c>
    </row>
    <row r="13">
      <c r="A13" s="16" t="inlineStr">
        <is>
          <t>Changed mind</t>
        </is>
      </c>
      <c r="B13" s="17" t="n">
        <v>84</v>
      </c>
      <c r="C13" s="18" t="n">
        <v>4323113.76</v>
      </c>
      <c r="D13" s="18" t="n">
        <v>51465.64</v>
      </c>
      <c r="E13" s="17" t="n">
        <v>12.12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5" customHeight="1">
      <c r="A1" s="12" t="inlineStr">
        <is>
          <t>Customer Cohort Retention Heatmap</t>
        </is>
      </c>
    </row>
    <row r="2">
      <c r="A2" s="41" t="inlineStr">
        <is>
          <t>Cohort ↓  /  Month →</t>
        </is>
      </c>
      <c r="B2" s="41" t="inlineStr">
        <is>
          <t>Month 0</t>
        </is>
      </c>
      <c r="C2" s="41" t="inlineStr">
        <is>
          <t>Month 1</t>
        </is>
      </c>
      <c r="D2" s="41" t="inlineStr">
        <is>
          <t>Month 2</t>
        </is>
      </c>
      <c r="E2" s="41" t="inlineStr">
        <is>
          <t>Month 3</t>
        </is>
      </c>
      <c r="F2" s="41" t="inlineStr">
        <is>
          <t>Month 4</t>
        </is>
      </c>
      <c r="G2" s="41" t="inlineStr">
        <is>
          <t>Month 5</t>
        </is>
      </c>
      <c r="H2" s="41" t="inlineStr">
        <is>
          <t>Month 6</t>
        </is>
      </c>
      <c r="I2" s="41" t="inlineStr">
        <is>
          <t>Month 7</t>
        </is>
      </c>
      <c r="J2" s="41" t="inlineStr">
        <is>
          <t>Month 8</t>
        </is>
      </c>
      <c r="K2" s="41" t="inlineStr">
        <is>
          <t>Month 9</t>
        </is>
      </c>
      <c r="L2" s="41" t="inlineStr">
        <is>
          <t>Month 10</t>
        </is>
      </c>
      <c r="M2" s="41" t="inlineStr">
        <is>
          <t>Month 11</t>
        </is>
      </c>
      <c r="N2" s="41" t="inlineStr">
        <is>
          <t>Month 12</t>
        </is>
      </c>
    </row>
    <row r="3">
      <c r="A3" s="42" t="inlineStr">
        <is>
          <t>2022-01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</row>
    <row r="4">
      <c r="A4" s="42" t="inlineStr">
        <is>
          <t>2022-02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</row>
    <row r="5">
      <c r="A5" s="42" t="inlineStr">
        <is>
          <t>2022-03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</row>
    <row r="6">
      <c r="A6" s="42" t="inlineStr">
        <is>
          <t>2022-04</t>
        </is>
      </c>
      <c r="B6" s="43" t="n"/>
      <c r="C6" s="43" t="n"/>
      <c r="D6" s="43" t="n"/>
      <c r="E6" s="43" t="n"/>
      <c r="F6" s="43" t="n"/>
      <c r="G6" s="43" t="n"/>
      <c r="H6" s="43" t="n"/>
      <c r="I6" s="43" t="n"/>
      <c r="J6" s="43" t="n"/>
      <c r="K6" s="43" t="n"/>
      <c r="L6" s="43" t="n"/>
      <c r="M6" s="43" t="n"/>
      <c r="N6" s="43" t="n"/>
    </row>
    <row r="7">
      <c r="A7" s="42" t="inlineStr">
        <is>
          <t>2022-05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</row>
    <row r="8">
      <c r="A8" s="42" t="inlineStr">
        <is>
          <t>2022-06</t>
        </is>
      </c>
      <c r="B8" s="43" t="n"/>
      <c r="C8" s="43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43" t="n"/>
    </row>
    <row r="9">
      <c r="A9" s="42" t="inlineStr">
        <is>
          <t>2022-07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</row>
    <row r="10">
      <c r="A10" s="42" t="inlineStr">
        <is>
          <t>2022-08</t>
        </is>
      </c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</row>
    <row r="11">
      <c r="A11" s="42" t="inlineStr">
        <is>
          <t>2022-09</t>
        </is>
      </c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3" t="n"/>
    </row>
    <row r="12">
      <c r="A12" s="42" t="inlineStr">
        <is>
          <t>2022-10</t>
        </is>
      </c>
      <c r="B12" s="43" t="n"/>
      <c r="C12" s="43" t="n"/>
      <c r="D12" s="43" t="n"/>
      <c r="E12" s="43" t="n"/>
      <c r="F12" s="43" t="n"/>
      <c r="G12" s="43" t="n"/>
      <c r="H12" s="43" t="n"/>
      <c r="I12" s="43" t="n"/>
      <c r="J12" s="43" t="n"/>
      <c r="K12" s="43" t="n"/>
      <c r="L12" s="43" t="n"/>
      <c r="M12" s="43" t="n"/>
      <c r="N12" s="43" t="n"/>
    </row>
    <row r="13">
      <c r="A13" s="42" t="inlineStr">
        <is>
          <t>2022-11</t>
        </is>
      </c>
      <c r="B13" s="43" t="n"/>
      <c r="C13" s="43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</row>
    <row r="14">
      <c r="A14" s="42" t="inlineStr">
        <is>
          <t>2022-12</t>
        </is>
      </c>
      <c r="B14" s="43" t="n"/>
      <c r="C14" s="43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</row>
    <row r="15">
      <c r="A15" s="42" t="inlineStr">
        <is>
          <t>2023-01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</row>
    <row r="16">
      <c r="A16" s="42" t="inlineStr">
        <is>
          <t>2023-02</t>
        </is>
      </c>
      <c r="B16" s="43" t="n"/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</row>
    <row r="17">
      <c r="A17" s="42" t="inlineStr">
        <is>
          <t>2023-03</t>
        </is>
      </c>
      <c r="B17" s="43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</row>
    <row r="18">
      <c r="A18" s="42" t="inlineStr">
        <is>
          <t>2023-04</t>
        </is>
      </c>
      <c r="B18" s="43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</row>
    <row r="19">
      <c r="A19" s="42" t="inlineStr">
        <is>
          <t>2023-05</t>
        </is>
      </c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</row>
    <row r="20">
      <c r="A20" s="42" t="inlineStr">
        <is>
          <t>2023-06</t>
        </is>
      </c>
      <c r="B20" s="43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</row>
    <row r="21">
      <c r="A21" s="42" t="inlineStr">
        <is>
          <t>2023-07</t>
        </is>
      </c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</row>
    <row r="22">
      <c r="A22" s="42" t="inlineStr">
        <is>
          <t>2023-08</t>
        </is>
      </c>
      <c r="B22" s="43" t="n"/>
      <c r="C22" s="43" t="n"/>
      <c r="D22" s="43" t="n"/>
      <c r="E22" s="43" t="n"/>
      <c r="F22" s="43" t="n"/>
      <c r="G22" s="43" t="n"/>
      <c r="H22" s="43" t="n"/>
      <c r="I22" s="43" t="n"/>
      <c r="J22" s="43" t="n"/>
      <c r="K22" s="43" t="n"/>
      <c r="L22" s="43" t="n"/>
      <c r="M22" s="43" t="n"/>
      <c r="N22" s="43" t="n"/>
    </row>
    <row r="23">
      <c r="A23" s="42" t="inlineStr">
        <is>
          <t>2023-09</t>
        </is>
      </c>
      <c r="B23" s="43" t="n"/>
      <c r="C23" s="43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43" t="n"/>
      <c r="M23" s="43" t="n"/>
      <c r="N23" s="43" t="n"/>
    </row>
    <row r="24">
      <c r="A24" s="42" t="inlineStr">
        <is>
          <t>2023-10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</row>
    <row r="25">
      <c r="A25" s="42" t="inlineStr">
        <is>
          <t>2023-11</t>
        </is>
      </c>
      <c r="B25" s="43" t="n"/>
      <c r="C25" s="43" t="n"/>
      <c r="D25" s="43" t="n"/>
      <c r="E25" s="43" t="n"/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</row>
    <row r="26">
      <c r="A26" s="42" t="inlineStr">
        <is>
          <t>2023-12</t>
        </is>
      </c>
      <c r="B26" s="43" t="n"/>
      <c r="C26" s="43" t="n"/>
      <c r="D26" s="43" t="n"/>
      <c r="E26" s="43" t="n"/>
      <c r="F26" s="43" t="n"/>
      <c r="G26" s="43" t="n"/>
      <c r="H26" s="43" t="n"/>
      <c r="I26" s="43" t="n"/>
      <c r="J26" s="43" t="n"/>
      <c r="K26" s="43" t="n"/>
      <c r="L26" s="43" t="n"/>
      <c r="M26" s="43" t="n"/>
      <c r="N26" s="43" t="n"/>
    </row>
    <row r="27">
      <c r="A27" s="42" t="inlineStr">
        <is>
          <t>2024-01</t>
        </is>
      </c>
      <c r="B27" s="43" t="n"/>
      <c r="C27" s="43" t="n"/>
      <c r="D27" s="43" t="n"/>
      <c r="E27" s="43" t="n"/>
      <c r="F27" s="43" t="n"/>
      <c r="G27" s="43" t="n"/>
      <c r="H27" s="43" t="n"/>
      <c r="I27" s="43" t="n"/>
      <c r="J27" s="43" t="n"/>
      <c r="K27" s="43" t="n"/>
      <c r="L27" s="43" t="n"/>
      <c r="M27" s="43" t="n"/>
      <c r="N27" s="43" t="n"/>
    </row>
    <row r="28">
      <c r="A28" s="42" t="inlineStr">
        <is>
          <t>2024-02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</row>
    <row r="29">
      <c r="A29" s="42" t="inlineStr">
        <is>
          <t>2024-03</t>
        </is>
      </c>
      <c r="B29" s="43" t="n"/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43" t="n"/>
      <c r="M29" s="43" t="n"/>
      <c r="N29" s="43" t="n"/>
    </row>
    <row r="30">
      <c r="A30" s="42" t="inlineStr">
        <is>
          <t>2024-04</t>
        </is>
      </c>
      <c r="B30" s="43" t="n"/>
      <c r="C30" s="43" t="n"/>
      <c r="D30" s="43" t="n"/>
      <c r="E30" s="43" t="n"/>
      <c r="F30" s="43" t="n"/>
      <c r="G30" s="43" t="n"/>
      <c r="H30" s="43" t="n"/>
      <c r="I30" s="43" t="n"/>
      <c r="J30" s="43" t="n"/>
      <c r="K30" s="43" t="n"/>
      <c r="L30" s="43" t="n"/>
      <c r="M30" s="43" t="n"/>
      <c r="N30" s="43" t="n"/>
    </row>
    <row r="31">
      <c r="A31" s="42" t="inlineStr">
        <is>
          <t>2024-05</t>
        </is>
      </c>
      <c r="B31" s="43" t="n"/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43" t="n"/>
      <c r="M31" s="43" t="n"/>
      <c r="N31" s="43" t="n"/>
    </row>
    <row r="32">
      <c r="A32" s="42" t="inlineStr">
        <is>
          <t>2024-06</t>
        </is>
      </c>
      <c r="B32" s="43" t="n"/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  <c r="L32" s="43" t="n"/>
      <c r="M32" s="43" t="n"/>
      <c r="N32" s="43" t="n"/>
    </row>
    <row r="33">
      <c r="A33" s="42" t="inlineStr">
        <is>
          <t>2024-07</t>
        </is>
      </c>
      <c r="B33" s="43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43" t="n"/>
      <c r="M33" s="43" t="n"/>
      <c r="N33" s="43" t="n"/>
    </row>
    <row r="34">
      <c r="A34" s="42" t="inlineStr">
        <is>
          <t>2024-08</t>
        </is>
      </c>
      <c r="B34" s="43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</row>
    <row r="35">
      <c r="A35" s="42" t="inlineStr">
        <is>
          <t>2024-09</t>
        </is>
      </c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43" t="n"/>
      <c r="M35" s="43" t="n"/>
      <c r="N35" s="43" t="n"/>
    </row>
    <row r="36">
      <c r="A36" s="42" t="inlineStr">
        <is>
          <t>2024-10</t>
        </is>
      </c>
      <c r="B36" s="43" t="n"/>
      <c r="C36" s="43" t="n"/>
      <c r="D36" s="43" t="n"/>
      <c r="E36" s="43" t="n"/>
      <c r="F36" s="43" t="n"/>
      <c r="G36" s="43" t="n"/>
      <c r="H36" s="43" t="n"/>
      <c r="I36" s="43" t="n"/>
      <c r="J36" s="43" t="n"/>
      <c r="K36" s="43" t="n"/>
      <c r="L36" s="43" t="n"/>
      <c r="M36" s="43" t="n"/>
      <c r="N36" s="43" t="n"/>
    </row>
    <row r="37">
      <c r="A37" s="42" t="inlineStr">
        <is>
          <t>2024-11</t>
        </is>
      </c>
      <c r="B37" s="43" t="n"/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</row>
    <row r="38">
      <c r="A38" s="42" t="inlineStr">
        <is>
          <t>2024-12</t>
        </is>
      </c>
      <c r="B38" s="43" t="n"/>
      <c r="C38" s="43" t="n"/>
      <c r="D38" s="43" t="n"/>
      <c r="E38" s="43" t="n"/>
      <c r="F38" s="43" t="n"/>
      <c r="G38" s="43" t="n"/>
      <c r="H38" s="43" t="n"/>
      <c r="I38" s="43" t="n"/>
      <c r="J38" s="43" t="n"/>
      <c r="K38" s="43" t="n"/>
      <c r="L38" s="43" t="n"/>
      <c r="M38" s="43" t="n"/>
      <c r="N38" s="43" t="n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2026-03-30T18:15:08Z</dcterms:created>
  <dcterms:modified xmlns:dcterms="http://purl.org/dc/terms/" xmlns:xsi="http://www.w3.org/2001/XMLSchema-instance" xsi:type="dcterms:W3CDTF">2026-03-30T18:15:09Z</dcterms:modified>
</cp:coreProperties>
</file>